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sfiap\Desktop\"/>
    </mc:Choice>
  </mc:AlternateContent>
  <xr:revisionPtr revIDLastSave="0" documentId="13_ncr:1_{9F7A1050-4027-4FEF-BA7C-219D59B08577}" xr6:coauthVersionLast="47" xr6:coauthVersionMax="47" xr10:uidLastSave="{00000000-0000-0000-0000-000000000000}"/>
  <bookViews>
    <workbookView xWindow="-120" yWindow="-120" windowWidth="24240" windowHeight="13020" activeTab="1" xr2:uid="{832D3EDC-D548-4031-85E3-C01272E93F60}"/>
  </bookViews>
  <sheets>
    <sheet name="Tabela Dimensional" sheetId="1" r:id="rId1"/>
    <sheet name="Cotaçã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B12" i="2"/>
  <c r="D2" i="1"/>
  <c r="C2" i="1"/>
  <c r="B2" i="1"/>
</calcChain>
</file>

<file path=xl/sharedStrings.xml><?xml version="1.0" encoding="utf-8"?>
<sst xmlns="http://schemas.openxmlformats.org/spreadsheetml/2006/main" count="60" uniqueCount="51">
  <si>
    <t>Componente</t>
  </si>
  <si>
    <t>Comprimento</t>
  </si>
  <si>
    <t>Largura</t>
  </si>
  <si>
    <t>Altura</t>
  </si>
  <si>
    <t>Forma de Fixação</t>
  </si>
  <si>
    <t>Motor Esquerdo</t>
  </si>
  <si>
    <t>Motor Direito</t>
  </si>
  <si>
    <t>Arduíno/ESP32</t>
  </si>
  <si>
    <t>Ponto H</t>
  </si>
  <si>
    <t>Bateria</t>
  </si>
  <si>
    <t>Sensor</t>
  </si>
  <si>
    <t>6,56</t>
  </si>
  <si>
    <t>1,8</t>
  </si>
  <si>
    <t>2,7</t>
  </si>
  <si>
    <t>4,4</t>
  </si>
  <si>
    <t>1,2</t>
  </si>
  <si>
    <t>2,9</t>
  </si>
  <si>
    <t>5,2</t>
  </si>
  <si>
    <t>2,3</t>
  </si>
  <si>
    <t>3,7</t>
  </si>
  <si>
    <t>7,1</t>
  </si>
  <si>
    <t>1,6</t>
  </si>
  <si>
    <t>2,6</t>
  </si>
  <si>
    <t>4,6</t>
  </si>
  <si>
    <t>Parafusos em suporte/mancal do chassi</t>
  </si>
  <si>
    <t>Parafusos e espaçadores (standoffs) no chassi</t>
  </si>
  <si>
    <t>Parafusos e espaçadores no chassi</t>
  </si>
  <si>
    <t>Suporte para bateria ou fita dupla-face/Velcro</t>
  </si>
  <si>
    <t>Parafusos no suporte ou fita dupla-face</t>
  </si>
  <si>
    <t>Suporte da Bateria</t>
  </si>
  <si>
    <t>7,6</t>
  </si>
  <si>
    <t>2,1</t>
  </si>
  <si>
    <t>Fixação por parafusos ao chassi</t>
  </si>
  <si>
    <t>ESP32 30 pinos</t>
  </si>
  <si>
    <t>Cabo Micro USB</t>
  </si>
  <si>
    <t>Ponte H L298N</t>
  </si>
  <si>
    <t>Kit 60 jumpers</t>
  </si>
  <si>
    <t>HC-SR04</t>
  </si>
  <si>
    <t>2 baterias 18650</t>
  </si>
  <si>
    <t>Suporte duplo 18650</t>
  </si>
  <si>
    <t>Chassi 2WD completo</t>
  </si>
  <si>
    <t>Mini protoboard</t>
  </si>
  <si>
    <t>MDF 30×30 cm, 3 mm</t>
  </si>
  <si>
    <t>Itens</t>
  </si>
  <si>
    <t>Valor</t>
  </si>
  <si>
    <t>Loja</t>
  </si>
  <si>
    <t>Eletrogate</t>
  </si>
  <si>
    <t>Casadarobotica</t>
  </si>
  <si>
    <t>Genesisrobotec</t>
  </si>
  <si>
    <t>Mercadolivre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</si>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</sst>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_([$BRL]\ * #,##0.00_);_([$BRL]\ * \(#,##0.00\);_([$BRL]\ 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171" fontId="0" fillId="0" borderId="1" xfId="0" applyNumberFormat="1" applyBorder="1" applyAlignment="1">
      <alignment horizontal="center" vertical="center"/>
    </xf>
    <xf numFmtId="171" fontId="2" fillId="0" borderId="1" xfId="1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1" fontId="1" fillId="0" borderId="2" xfId="0" applyNumberFormat="1" applyFont="1" applyBorder="1" applyAlignment="1">
      <alignment horizontal="center" vertical="center"/>
    </xf>
    <xf numFmtId="171" fontId="1" fillId="0" borderId="3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asadarobotica.com/robotica/chassi-s/carros/kit-chassi-2-rodas?utm_source=" TargetMode="External"/><Relationship Id="rId3" Type="http://schemas.openxmlformats.org/officeDocument/2006/relationships/hyperlink" Target="https://www.eletrogate.com/mini-ponte-h-dupla-l298n?utm_source=chatgpt.com" TargetMode="External"/><Relationship Id="rId7" Type="http://schemas.openxmlformats.org/officeDocument/2006/relationships/hyperlink" Target="https://www.eletrogate.com/suporte-para-2-baterias-18650-nao-e-para-pilha-15v?utm_source" TargetMode="External"/><Relationship Id="rId2" Type="http://schemas.openxmlformats.org/officeDocument/2006/relationships/hyperlink" Target="https://www.casadarobotica.com/prototipagem-ferramentas/prototipagem/cabos/cabo-micro-" TargetMode="External"/><Relationship Id="rId1" Type="http://schemas.openxmlformats.org/officeDocument/2006/relationships/hyperlink" Target="https://www.eletrogate.com/modulo-wifi-esp32-bluetooth-30-pinos?utm_source=chatgpt.com" TargetMode="External"/><Relationship Id="rId6" Type="http://schemas.openxmlformats.org/officeDocument/2006/relationships/hyperlink" Target="https://www.genesisrobotec.com/product-page/bateria-de-%C3%ADon-de-l%C3%ADtio-18650-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s://www.eletrogate.com/modulo-sensor-de-distancia-ultrassonico-hc-sr04?utm_source=" TargetMode="External"/><Relationship Id="rId10" Type="http://schemas.openxmlformats.org/officeDocument/2006/relationships/hyperlink" Target="https://www.mercadolivre.com.br/10-chapas-mdf-30x30-3mm-madeira-crua-lisa-sem" TargetMode="External"/><Relationship Id="rId4" Type="http://schemas.openxmlformats.org/officeDocument/2006/relationships/hyperlink" Target="https://www.casadarobotica.com/prototipagem-ferramentas/prototipagem/cabos/kit-60-cabo-" TargetMode="External"/><Relationship Id="rId9" Type="http://schemas.openxmlformats.org/officeDocument/2006/relationships/hyperlink" Target="https://www.casadarobotica.com/prototipagem-e-ferramentas/prototipagem/protoboar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349D8-8DF9-418D-8B76-1C299493D9C3}">
  <dimension ref="A1:O14"/>
  <sheetViews>
    <sheetView workbookViewId="0">
      <selection activeCell="E13" sqref="E13"/>
    </sheetView>
  </sheetViews>
  <sheetFormatPr defaultRowHeight="15" x14ac:dyDescent="0.25"/>
  <cols>
    <col min="1" max="1" width="17.7109375" bestFit="1" customWidth="1"/>
    <col min="2" max="2" width="13.7109375" bestFit="1" customWidth="1"/>
    <col min="3" max="3" width="7.5703125" bestFit="1" customWidth="1"/>
    <col min="4" max="4" width="7.7109375" bestFit="1" customWidth="1"/>
    <col min="5" max="5" width="43.5703125" bestFit="1" customWidth="1"/>
  </cols>
  <sheetData>
    <row r="1" spans="1:1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/>
    </row>
    <row r="2" spans="1:15" x14ac:dyDescent="0.25">
      <c r="A2" s="3" t="s">
        <v>5</v>
      </c>
      <c r="B2" s="2" t="str">
        <f>B3</f>
        <v>7,1</v>
      </c>
      <c r="C2" s="2" t="str">
        <f>C3</f>
        <v>3,7</v>
      </c>
      <c r="D2" s="2" t="str">
        <f>D3</f>
        <v>2,3</v>
      </c>
      <c r="E2" s="2" t="s">
        <v>24</v>
      </c>
    </row>
    <row r="3" spans="1:15" x14ac:dyDescent="0.25">
      <c r="A3" s="3" t="s">
        <v>6</v>
      </c>
      <c r="B3" s="2" t="s">
        <v>20</v>
      </c>
      <c r="C3" s="2" t="s">
        <v>19</v>
      </c>
      <c r="D3" s="2" t="s">
        <v>18</v>
      </c>
      <c r="E3" s="2" t="s">
        <v>24</v>
      </c>
    </row>
    <row r="4" spans="1:15" x14ac:dyDescent="0.25">
      <c r="A4" s="3" t="s">
        <v>7</v>
      </c>
      <c r="B4" s="2" t="s">
        <v>17</v>
      </c>
      <c r="C4" s="2" t="s">
        <v>16</v>
      </c>
      <c r="D4" s="2" t="s">
        <v>15</v>
      </c>
      <c r="E4" s="2" t="s">
        <v>25</v>
      </c>
    </row>
    <row r="5" spans="1:15" x14ac:dyDescent="0.25">
      <c r="A5" s="3" t="s">
        <v>8</v>
      </c>
      <c r="B5" s="2" t="s">
        <v>14</v>
      </c>
      <c r="C5" s="2" t="s">
        <v>14</v>
      </c>
      <c r="D5" s="2" t="s">
        <v>13</v>
      </c>
      <c r="E5" s="2" t="s">
        <v>26</v>
      </c>
    </row>
    <row r="6" spans="1:15" x14ac:dyDescent="0.25">
      <c r="A6" s="3" t="s">
        <v>9</v>
      </c>
      <c r="B6" s="2" t="s">
        <v>12</v>
      </c>
      <c r="C6" s="2" t="s">
        <v>12</v>
      </c>
      <c r="D6" s="2" t="s">
        <v>11</v>
      </c>
      <c r="E6" s="2" t="s">
        <v>27</v>
      </c>
    </row>
    <row r="7" spans="1:15" x14ac:dyDescent="0.25">
      <c r="A7" s="3" t="s">
        <v>29</v>
      </c>
      <c r="B7" s="2" t="s">
        <v>30</v>
      </c>
      <c r="C7" s="2" t="s">
        <v>31</v>
      </c>
      <c r="D7" s="2">
        <v>2</v>
      </c>
      <c r="E7" s="2" t="s">
        <v>32</v>
      </c>
    </row>
    <row r="8" spans="1:15" x14ac:dyDescent="0.25">
      <c r="A8" s="3" t="s">
        <v>10</v>
      </c>
      <c r="B8" s="2" t="s">
        <v>23</v>
      </c>
      <c r="C8" s="2" t="s">
        <v>22</v>
      </c>
      <c r="D8" s="2" t="s">
        <v>21</v>
      </c>
      <c r="E8" s="7" t="s">
        <v>28</v>
      </c>
      <c r="N8" s="4"/>
      <c r="O8" s="4"/>
    </row>
    <row r="9" spans="1:15" x14ac:dyDescent="0.25">
      <c r="N9" s="6"/>
      <c r="O9" s="5"/>
    </row>
    <row r="10" spans="1:15" x14ac:dyDescent="0.25">
      <c r="N10" s="6"/>
      <c r="O10" s="5"/>
    </row>
    <row r="11" spans="1:15" x14ac:dyDescent="0.25">
      <c r="N11" s="6"/>
      <c r="O11" s="5"/>
    </row>
    <row r="12" spans="1:15" x14ac:dyDescent="0.25">
      <c r="N12" s="6"/>
      <c r="O12" s="5"/>
    </row>
    <row r="13" spans="1:15" x14ac:dyDescent="0.25">
      <c r="N13" s="6"/>
      <c r="O13" s="5"/>
    </row>
    <row r="14" spans="1:15" x14ac:dyDescent="0.25">
      <c r="N14" s="6"/>
      <c r="O14" s="5"/>
    </row>
  </sheetData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C1066-C2DB-40B7-BE57-B5524B17E389}">
  <dimension ref="A1:C12"/>
  <sheetViews>
    <sheetView tabSelected="1" workbookViewId="0">
      <selection activeCell="E8" sqref="E8"/>
    </sheetView>
  </sheetViews>
  <sheetFormatPr defaultRowHeight="15" x14ac:dyDescent="0.25"/>
  <cols>
    <col min="1" max="1" width="29" bestFit="1" customWidth="1"/>
    <col min="2" max="2" width="13.28515625" bestFit="1" customWidth="1"/>
    <col min="3" max="3" width="16.7109375" bestFit="1" customWidth="1"/>
  </cols>
  <sheetData>
    <row r="1" spans="1:3" x14ac:dyDescent="0.25">
      <c r="A1" s="9" t="s">
        <v>43</v>
      </c>
      <c r="B1" s="9" t="s">
        <v>44</v>
      </c>
      <c r="C1" s="9" t="s">
        <v>45</v>
      </c>
    </row>
    <row r="2" spans="1:3" x14ac:dyDescent="0.25">
      <c r="A2" s="15" t="s">
        <v>33</v>
      </c>
      <c r="B2" s="10">
        <v>44.85</v>
      </c>
      <c r="C2" s="11" t="s">
        <v>46</v>
      </c>
    </row>
    <row r="3" spans="1:3" x14ac:dyDescent="0.25">
      <c r="A3" s="15" t="s">
        <v>34</v>
      </c>
      <c r="B3" s="10">
        <v>4.99</v>
      </c>
      <c r="C3" s="11" t="s">
        <v>47</v>
      </c>
    </row>
    <row r="4" spans="1:3" x14ac:dyDescent="0.25">
      <c r="A4" s="15" t="s">
        <v>35</v>
      </c>
      <c r="B4" s="10">
        <v>4.96</v>
      </c>
      <c r="C4" s="11" t="s">
        <v>46</v>
      </c>
    </row>
    <row r="5" spans="1:3" x14ac:dyDescent="0.25">
      <c r="A5" s="15" t="s">
        <v>36</v>
      </c>
      <c r="B5" s="10">
        <v>15.99</v>
      </c>
      <c r="C5" s="11" t="s">
        <v>47</v>
      </c>
    </row>
    <row r="6" spans="1:3" x14ac:dyDescent="0.25">
      <c r="A6" s="15" t="s">
        <v>37</v>
      </c>
      <c r="B6" s="10">
        <v>9.9</v>
      </c>
      <c r="C6" s="11" t="s">
        <v>46</v>
      </c>
    </row>
    <row r="7" spans="1:3" x14ac:dyDescent="0.25">
      <c r="A7" s="15" t="s">
        <v>38</v>
      </c>
      <c r="B7" s="10">
        <f>20.5*2</f>
        <v>41</v>
      </c>
      <c r="C7" s="11" t="s">
        <v>48</v>
      </c>
    </row>
    <row r="8" spans="1:3" x14ac:dyDescent="0.25">
      <c r="A8" s="15" t="s">
        <v>39</v>
      </c>
      <c r="B8" s="10">
        <v>4.9000000000000004</v>
      </c>
      <c r="C8" s="11" t="s">
        <v>46</v>
      </c>
    </row>
    <row r="9" spans="1:3" x14ac:dyDescent="0.25">
      <c r="A9" s="15" t="s">
        <v>40</v>
      </c>
      <c r="B9" s="10">
        <v>54.99</v>
      </c>
      <c r="C9" s="11" t="s">
        <v>47</v>
      </c>
    </row>
    <row r="10" spans="1:3" x14ac:dyDescent="0.25">
      <c r="A10" s="15" t="s">
        <v>41</v>
      </c>
      <c r="B10" s="10">
        <v>3.49</v>
      </c>
      <c r="C10" s="11" t="s">
        <v>47</v>
      </c>
    </row>
    <row r="11" spans="1:3" x14ac:dyDescent="0.25">
      <c r="A11" s="15" t="s">
        <v>42</v>
      </c>
      <c r="B11" s="10">
        <v>32.79</v>
      </c>
      <c r="C11" s="11" t="s">
        <v>49</v>
      </c>
    </row>
    <row r="12" spans="1:3" x14ac:dyDescent="0.25">
      <c r="A12" s="12" t="s">
        <v>50</v>
      </c>
      <c r="B12" s="13">
        <f>SUM(B2:B11)</f>
        <v>217.86</v>
      </c>
      <c r="C12" s="14"/>
    </row>
  </sheetData>
  <mergeCells count="1">
    <mergeCell ref="B12:C12"/>
  </mergeCells>
  <hyperlinks>
    <hyperlink ref="C2" r:id="rId1" xr:uid="{15319800-4F82-4CC6-A949-B44F37AC159A}"/>
    <hyperlink ref="C3" r:id="rId2" xr:uid="{D16D1BF1-4FBE-4038-AD72-8E2A6D04118A}"/>
    <hyperlink ref="C4" r:id="rId3" xr:uid="{AF2A02C3-D211-40AE-8204-0DE29DAB5B8B}"/>
    <hyperlink ref="C5" r:id="rId4" xr:uid="{3BB8CAEC-536A-4420-9F61-1C374D29A3BA}"/>
    <hyperlink ref="C6" r:id="rId5" xr:uid="{36DF57BC-545D-4A32-8579-A16A8EC3CC00}"/>
    <hyperlink ref="C7" r:id="rId6" xr:uid="{5DB915E7-74A3-4039-8FC2-F31EF7F7E3F3}"/>
    <hyperlink ref="C8" r:id="rId7" xr:uid="{5CE6EE98-8809-4962-A661-A64EB62241E9}"/>
    <hyperlink ref="C9" r:id="rId8" xr:uid="{35AD4C47-4421-4D61-A894-86D29F2189B9}"/>
    <hyperlink ref="C10" r:id="rId9" xr:uid="{0AA5F3B6-28FB-4AC7-9CC2-42B838CDA609}"/>
    <hyperlink ref="C11" r:id="rId10" xr:uid="{4FFA8D92-8814-4289-AC72-8EDF86FF7095}"/>
  </hyperlinks>
  <pageMargins left="0.7" right="0.7" top="0.75" bottom="0.75" header="0.3" footer="0.3"/>
  <pageSetup orientation="portrait" horizontalDpi="300" verticalDpi="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 Dimensional</vt:lpstr>
      <vt:lpstr>Cotação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 FIAP</dc:creator>
  <cp:lastModifiedBy>Rui Amorim Siqueira</cp:lastModifiedBy>
  <dcterms:created xsi:type="dcterms:W3CDTF">2026-08-15T00:36:15Z</dcterms:created>
  <dcterms:modified xsi:type="dcterms:W3CDTF">2026-08-29T00:59:35Z</dcterms:modified>
</cp:coreProperties>
</file>